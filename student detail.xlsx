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d.docs.live.net/531385130F302A4D/Documents/"/>
    </mc:Choice>
  </mc:AlternateContent>
  <xr:revisionPtr revIDLastSave="0" documentId="8_{984110F7-0889-4FB0-9576-D80AA8F4DA60}" xr6:coauthVersionLast="47" xr6:coauthVersionMax="47" xr10:uidLastSave="{00000000-0000-0000-0000-000000000000}"/>
  <bookViews>
    <workbookView xWindow="3072" yWindow="3072" windowWidth="17280" windowHeight="9960" firstSheet="1" activeTab="1" xr2:uid="{F48694EA-505F-4939-8AEE-16B7E9D24356}"/>
  </bookViews>
  <sheets>
    <sheet name="Sheet2" sheetId="2" r:id="rId1"/>
    <sheet name="Sheet3" sheetId="3" r:id="rId2"/>
    <sheet name="Sheet4" sheetId="4" r:id="rId3"/>
    <sheet name="Sheet1" sheetId="1" r:id="rId4"/>
  </sheets>
  <definedNames>
    <definedName name="Slicer_Department">#N/A</definedName>
  </definedNames>
  <calcPr calcId="191028"/>
  <pivotCaches>
    <pivotCache cacheId="80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 i="1"/>
  <c r="G15" i="1"/>
  <c r="G16" i="1"/>
  <c r="G17" i="1"/>
  <c r="G18" i="1"/>
  <c r="G19" i="1"/>
  <c r="G20" i="1"/>
  <c r="G21" i="1"/>
  <c r="G7" i="1"/>
  <c r="G8" i="1"/>
  <c r="G9" i="1"/>
  <c r="G10" i="1"/>
  <c r="G11" i="1"/>
  <c r="G12" i="1"/>
  <c r="G13" i="1"/>
  <c r="G14" i="1"/>
  <c r="G6" i="1"/>
  <c r="G5" i="1"/>
  <c r="G4" i="1"/>
  <c r="G3" i="1"/>
  <c r="G2" i="1"/>
</calcChain>
</file>

<file path=xl/sharedStrings.xml><?xml version="1.0" encoding="utf-8"?>
<sst xmlns="http://schemas.openxmlformats.org/spreadsheetml/2006/main" count="92" uniqueCount="38">
  <si>
    <t>Row Labels</t>
  </si>
  <si>
    <t>Sum of Maths</t>
  </si>
  <si>
    <t>Sum of CP</t>
  </si>
  <si>
    <t>Sum of DataScience</t>
  </si>
  <si>
    <t>Sum of Total</t>
  </si>
  <si>
    <t>AI &amp; DS</t>
  </si>
  <si>
    <t>Grand Total</t>
  </si>
  <si>
    <t>Sum of Average</t>
  </si>
  <si>
    <t>CSE</t>
  </si>
  <si>
    <t>ECE</t>
  </si>
  <si>
    <t>S.No</t>
  </si>
  <si>
    <t>Name</t>
  </si>
  <si>
    <t>Department</t>
  </si>
  <si>
    <t>Maths</t>
  </si>
  <si>
    <t>CP</t>
  </si>
  <si>
    <t>DataScience</t>
  </si>
  <si>
    <t>Total</t>
  </si>
  <si>
    <t>Average</t>
  </si>
  <si>
    <t>Arun Kumar</t>
  </si>
  <si>
    <t>Priya S</t>
  </si>
  <si>
    <t>Rahul M</t>
  </si>
  <si>
    <t>Divya R</t>
  </si>
  <si>
    <t>Karthik P</t>
  </si>
  <si>
    <t>Harini K</t>
  </si>
  <si>
    <t>Vignesh S</t>
  </si>
  <si>
    <t>Nandhini R</t>
  </si>
  <si>
    <t>Santhosh K</t>
  </si>
  <si>
    <t>Keerthana M</t>
  </si>
  <si>
    <t>Dinesh R</t>
  </si>
  <si>
    <t>Aishwarya S</t>
  </si>
  <si>
    <t>Naveen K</t>
  </si>
  <si>
    <t>Swetha P</t>
  </si>
  <si>
    <t>Praveen M</t>
  </si>
  <si>
    <t>Janani R</t>
  </si>
  <si>
    <t>Ashwin S</t>
  </si>
  <si>
    <t>Monika K</t>
  </si>
  <si>
    <t>Surya P</t>
  </si>
  <si>
    <t>Abinaya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</si>
</sst>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detail.xlsx]Sheet2!PivotTable4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Sheet2!$J$4:$J$5</c:f>
              <c:strCache>
                <c:ptCount val="1"/>
                <c:pt idx="0">
                  <c:v>AI &amp; DS</c:v>
                </c:pt>
              </c:strCache>
            </c:strRef>
          </c:cat>
          <c:val>
            <c:numRef>
              <c:f>Sheet2!$K$4:$K$5</c:f>
              <c:numCache>
                <c:formatCode>General</c:formatCode>
                <c:ptCount val="1"/>
                <c:pt idx="0">
                  <c:v>2551</c:v>
                </c:pt>
              </c:numCache>
            </c:numRef>
          </c:val>
          <c:extLst>
            <c:ext xmlns:c16="http://schemas.microsoft.com/office/drawing/2014/chart" uri="{C3380CC4-5D6E-409C-BE32-E72D297353CC}">
              <c16:uniqueId val="{00000000-08FE-4D28-8C5B-2CB860720342}"/>
            </c:ext>
          </c:extLst>
        </c:ser>
        <c:dLbls>
          <c:dLblPos val="outEnd"/>
          <c:showLegendKey val="0"/>
          <c:showVal val="1"/>
          <c:showCatName val="0"/>
          <c:showSerName val="0"/>
          <c:showPercent val="0"/>
          <c:showBubbleSize val="0"/>
        </c:dLbls>
        <c:gapWidth val="100"/>
        <c:overlap val="-24"/>
        <c:axId val="890856543"/>
        <c:axId val="853104975"/>
      </c:barChart>
      <c:catAx>
        <c:axId val="8908565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3104975"/>
        <c:crosses val="autoZero"/>
        <c:auto val="1"/>
        <c:lblAlgn val="ctr"/>
        <c:lblOffset val="100"/>
        <c:noMultiLvlLbl val="0"/>
      </c:catAx>
      <c:valAx>
        <c:axId val="85310497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085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detail.xlsx]Sheet4!PivotTable11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2">
              <a:lumMod val="40000"/>
              <a:lumOff val="60000"/>
            </a:schemeClr>
          </a:solidFill>
          <a:round/>
        </a:ln>
        <a:effectLst/>
        <a:sp3d contourW="9525">
          <a:contourClr>
            <a:schemeClr val="tx2">
              <a:lumMod val="40000"/>
              <a:lumOff val="60000"/>
            </a:schemeClr>
          </a:contourClr>
        </a:sp3d>
      </c:spPr>
    </c:floor>
    <c:sideWall>
      <c:thickness val="0"/>
      <c:spPr>
        <a:noFill/>
        <a:ln>
          <a:noFill/>
        </a:ln>
        <a:effectLst/>
        <a:sp3d/>
      </c:spPr>
    </c:sideWall>
    <c:backWall>
      <c:thickness val="0"/>
      <c:spPr>
        <a:noFill/>
        <a:ln>
          <a:noFill/>
        </a:ln>
        <a:effectLst/>
        <a:sp3d/>
      </c:spPr>
    </c:backWall>
    <c:plotArea>
      <c:layout/>
      <c:area3DChart>
        <c:grouping val="percentStacked"/>
        <c:varyColors val="0"/>
        <c:ser>
          <c:idx val="0"/>
          <c:order val="0"/>
          <c:tx>
            <c:strRef>
              <c:f>Sheet4!$B$10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cat>
            <c:strRef>
              <c:f>Sheet4!$A$11:$A$14</c:f>
              <c:strCache>
                <c:ptCount val="3"/>
                <c:pt idx="0">
                  <c:v>AI &amp; DS</c:v>
                </c:pt>
                <c:pt idx="1">
                  <c:v>CSE</c:v>
                </c:pt>
                <c:pt idx="2">
                  <c:v>ECE</c:v>
                </c:pt>
              </c:strCache>
            </c:strRef>
          </c:cat>
          <c:val>
            <c:numRef>
              <c:f>Sheet4!$B$11:$B$14</c:f>
              <c:numCache>
                <c:formatCode>General</c:formatCode>
                <c:ptCount val="3"/>
                <c:pt idx="0">
                  <c:v>2551</c:v>
                </c:pt>
                <c:pt idx="1">
                  <c:v>1142</c:v>
                </c:pt>
                <c:pt idx="2">
                  <c:v>1166</c:v>
                </c:pt>
              </c:numCache>
            </c:numRef>
          </c:val>
          <c:extLst>
            <c:ext xmlns:c16="http://schemas.microsoft.com/office/drawing/2014/chart" uri="{C3380CC4-5D6E-409C-BE32-E72D297353CC}">
              <c16:uniqueId val="{00000000-64A5-4A58-8823-88BC09C3D6CF}"/>
            </c:ext>
          </c:extLst>
        </c:ser>
        <c:dLbls>
          <c:showLegendKey val="0"/>
          <c:showVal val="0"/>
          <c:showCatName val="0"/>
          <c:showSerName val="0"/>
          <c:showPercent val="0"/>
          <c:showBubbleSize val="0"/>
        </c:dLbls>
        <c:axId val="922893167"/>
        <c:axId val="915771247"/>
        <c:axId val="0"/>
      </c:area3DChart>
      <c:catAx>
        <c:axId val="92289316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5771247"/>
        <c:crosses val="autoZero"/>
        <c:auto val="1"/>
        <c:lblAlgn val="ctr"/>
        <c:lblOffset val="100"/>
        <c:noMultiLvlLbl val="0"/>
      </c:catAx>
      <c:valAx>
        <c:axId val="915771247"/>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228931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detail.xlsx]Sheet4!PivotTable11</c:name>
    <c:fmtId val="18"/>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Sheet4!$B$10</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cat>
            <c:strRef>
              <c:f>Sheet4!$A$11:$A$14</c:f>
              <c:strCache>
                <c:ptCount val="3"/>
                <c:pt idx="0">
                  <c:v>AI &amp; DS</c:v>
                </c:pt>
                <c:pt idx="1">
                  <c:v>CSE</c:v>
                </c:pt>
                <c:pt idx="2">
                  <c:v>ECE</c:v>
                </c:pt>
              </c:strCache>
            </c:strRef>
          </c:cat>
          <c:val>
            <c:numRef>
              <c:f>Sheet4!$B$11:$B$14</c:f>
              <c:numCache>
                <c:formatCode>General</c:formatCode>
                <c:ptCount val="3"/>
                <c:pt idx="0">
                  <c:v>2551</c:v>
                </c:pt>
                <c:pt idx="1">
                  <c:v>1142</c:v>
                </c:pt>
                <c:pt idx="2">
                  <c:v>1166</c:v>
                </c:pt>
              </c:numCache>
            </c:numRef>
          </c:val>
          <c:smooth val="0"/>
          <c:extLst>
            <c:ext xmlns:c16="http://schemas.microsoft.com/office/drawing/2014/chart" uri="{C3380CC4-5D6E-409C-BE32-E72D297353CC}">
              <c16:uniqueId val="{00000000-39FC-45E4-9366-F923C36E3992}"/>
            </c:ext>
          </c:extLst>
        </c:ser>
        <c:dLbls>
          <c:showLegendKey val="0"/>
          <c:showVal val="0"/>
          <c:showCatName val="0"/>
          <c:showSerName val="0"/>
          <c:showPercent val="0"/>
          <c:showBubbleSize val="0"/>
        </c:dLbls>
        <c:axId val="998104479"/>
        <c:axId val="853080015"/>
        <c:axId val="949919119"/>
      </c:line3DChart>
      <c:catAx>
        <c:axId val="99810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3080015"/>
        <c:crosses val="autoZero"/>
        <c:auto val="1"/>
        <c:lblAlgn val="ctr"/>
        <c:lblOffset val="100"/>
        <c:noMultiLvlLbl val="0"/>
      </c:catAx>
      <c:valAx>
        <c:axId val="85308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98104479"/>
        <c:crosses val="autoZero"/>
        <c:crossBetween val="between"/>
      </c:valAx>
      <c:serAx>
        <c:axId val="9499191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30800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detail.xlsx]Sheet4!PivotTable11</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Sheet4!$B$10</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sp3d/>
            </c:spPr>
            <c:extLst>
              <c:ext xmlns:c16="http://schemas.microsoft.com/office/drawing/2014/chart" uri="{C3380CC4-5D6E-409C-BE32-E72D297353CC}">
                <c16:uniqueId val="{00000001-A09F-496D-AA3A-6503C1526348}"/>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3-A09F-496D-AA3A-6503C1526348}"/>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sp3d/>
            </c:spPr>
            <c:extLst>
              <c:ext xmlns:c16="http://schemas.microsoft.com/office/drawing/2014/chart" uri="{C3380CC4-5D6E-409C-BE32-E72D297353CC}">
                <c16:uniqueId val="{00000005-A09F-496D-AA3A-6503C1526348}"/>
              </c:ext>
            </c:extLst>
          </c:dPt>
          <c:cat>
            <c:strRef>
              <c:f>Sheet4!$A$11:$A$14</c:f>
              <c:strCache>
                <c:ptCount val="3"/>
                <c:pt idx="0">
                  <c:v>AI &amp; DS</c:v>
                </c:pt>
                <c:pt idx="1">
                  <c:v>CSE</c:v>
                </c:pt>
                <c:pt idx="2">
                  <c:v>ECE</c:v>
                </c:pt>
              </c:strCache>
            </c:strRef>
          </c:cat>
          <c:val>
            <c:numRef>
              <c:f>Sheet4!$B$11:$B$14</c:f>
              <c:numCache>
                <c:formatCode>General</c:formatCode>
                <c:ptCount val="3"/>
                <c:pt idx="0">
                  <c:v>2551</c:v>
                </c:pt>
                <c:pt idx="1">
                  <c:v>1142</c:v>
                </c:pt>
                <c:pt idx="2">
                  <c:v>1166</c:v>
                </c:pt>
              </c:numCache>
            </c:numRef>
          </c:val>
          <c:extLst>
            <c:ext xmlns:c16="http://schemas.microsoft.com/office/drawing/2014/chart" uri="{C3380CC4-5D6E-409C-BE32-E72D297353CC}">
              <c16:uniqueId val="{00000006-A09F-496D-AA3A-6503C152634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175260</xdr:colOff>
      <xdr:row>0</xdr:row>
      <xdr:rowOff>99060</xdr:rowOff>
    </xdr:from>
    <xdr:to>
      <xdr:col>10</xdr:col>
      <xdr:colOff>472440</xdr:colOff>
      <xdr:row>13</xdr:row>
      <xdr:rowOff>30480</xdr:rowOff>
    </xdr:to>
    <xdr:graphicFrame macro="">
      <xdr:nvGraphicFramePr>
        <xdr:cNvPr id="2" name="Chart 1">
          <a:extLst>
            <a:ext uri="{FF2B5EF4-FFF2-40B4-BE49-F238E27FC236}">
              <a16:creationId xmlns:a16="http://schemas.microsoft.com/office/drawing/2014/main" id="{B28A1D06-D3BA-4D1F-B8D8-6F0DB61A0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3</xdr:col>
      <xdr:colOff>0</xdr:colOff>
      <xdr:row>9</xdr:row>
      <xdr:rowOff>45720</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8FD7B479-4907-47CD-BE38-6503C512EB5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182880"/>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167640</xdr:colOff>
      <xdr:row>13</xdr:row>
      <xdr:rowOff>0</xdr:rowOff>
    </xdr:from>
    <xdr:to>
      <xdr:col>10</xdr:col>
      <xdr:colOff>472440</xdr:colOff>
      <xdr:row>25</xdr:row>
      <xdr:rowOff>38100</xdr:rowOff>
    </xdr:to>
    <xdr:graphicFrame macro="">
      <xdr:nvGraphicFramePr>
        <xdr:cNvPr id="6" name="Chart 5">
          <a:extLst>
            <a:ext uri="{FF2B5EF4-FFF2-40B4-BE49-F238E27FC236}">
              <a16:creationId xmlns:a16="http://schemas.microsoft.com/office/drawing/2014/main" id="{DDBA23EA-B308-4A7E-9FF0-366C54357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487680</xdr:colOff>
      <xdr:row>12</xdr:row>
      <xdr:rowOff>175260</xdr:rowOff>
    </xdr:from>
    <xdr:to>
      <xdr:col>17</xdr:col>
      <xdr:colOff>533400</xdr:colOff>
      <xdr:row>25</xdr:row>
      <xdr:rowOff>76200</xdr:rowOff>
    </xdr:to>
    <xdr:graphicFrame macro="">
      <xdr:nvGraphicFramePr>
        <xdr:cNvPr id="7" name="Chart 6">
          <a:extLst>
            <a:ext uri="{FF2B5EF4-FFF2-40B4-BE49-F238E27FC236}">
              <a16:creationId xmlns:a16="http://schemas.microsoft.com/office/drawing/2014/main" id="{53716E5B-997E-4442-B1CA-363F29CC1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480060</xdr:colOff>
      <xdr:row>0</xdr:row>
      <xdr:rowOff>99060</xdr:rowOff>
    </xdr:from>
    <xdr:to>
      <xdr:col>17</xdr:col>
      <xdr:colOff>518160</xdr:colOff>
      <xdr:row>13</xdr:row>
      <xdr:rowOff>7620</xdr:rowOff>
    </xdr:to>
    <xdr:graphicFrame macro="">
      <xdr:nvGraphicFramePr>
        <xdr:cNvPr id="8" name="Chart 7">
          <a:extLst>
            <a:ext uri="{FF2B5EF4-FFF2-40B4-BE49-F238E27FC236}">
              <a16:creationId xmlns:a16="http://schemas.microsoft.com/office/drawing/2014/main" id="{B177A8DE-BB9B-4E3C-A9ED-B733842BB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RANJEEV SENTHIL" refreshedDate="46276.460149652776" createdVersion="8" refreshedVersion="8" minRefreshableVersion="3" recordCount="20" xr:uid="{8796D566-CCDD-4C99-821C-2AEFF91B2FC4}">
  <cacheSource type="worksheet">
    <worksheetSource ref="A1:H21" sheet="Sheet1"/>
  </cacheSource>
  <cacheFields count="8">
    <cacheField name="S.No" numFmtId="0">
      <sharedItems containsSemiMixedTypes="0" containsString="0" containsNumber="1" containsInteger="1" minValue="1" maxValue="20"/>
    </cacheField>
    <cacheField name="Name" numFmtId="0">
      <sharedItems count="20">
        <s v="Arun Kumar"/>
        <s v="Priya S"/>
        <s v="Rahul M"/>
        <s v="Divya R"/>
        <s v="Karthik P"/>
        <s v="Harini K"/>
        <s v="Vignesh S"/>
        <s v="Nandhini R"/>
        <s v="Santhosh K"/>
        <s v="Keerthana M"/>
        <s v="Dinesh R"/>
        <s v="Aishwarya S"/>
        <s v="Naveen K"/>
        <s v="Swetha P"/>
        <s v="Praveen M"/>
        <s v="Janani R"/>
        <s v="Ashwin S"/>
        <s v="Monika K"/>
        <s v="Surya P"/>
        <s v="Abinaya M"/>
      </sharedItems>
    </cacheField>
    <cacheField name="Department" numFmtId="0">
      <sharedItems count="3">
        <s v="AI &amp; DS"/>
        <s v="CSE"/>
        <s v="ECE"/>
      </sharedItems>
    </cacheField>
    <cacheField name="Maths" numFmtId="0">
      <sharedItems containsSemiMixedTypes="0" containsString="0" containsNumber="1" containsInteger="1" minValue="64" maxValue="95"/>
    </cacheField>
    <cacheField name="CP" numFmtId="0">
      <sharedItems containsSemiMixedTypes="0" containsString="0" containsNumber="1" containsInteger="1" minValue="65" maxValue="92"/>
    </cacheField>
    <cacheField name="DataScience" numFmtId="0">
      <sharedItems containsSemiMixedTypes="0" containsString="0" containsNumber="1" containsInteger="1" minValue="66" maxValue="94"/>
    </cacheField>
    <cacheField name="Total" numFmtId="0">
      <sharedItems containsSemiMixedTypes="0" containsString="0" containsNumber="1" containsInteger="1" minValue="198" maxValue="278"/>
    </cacheField>
    <cacheField name="Average" numFmtId="0">
      <sharedItems containsSemiMixedTypes="0" containsString="0" containsNumber="1" minValue="66" maxValue="92.666666666666671"/>
    </cacheField>
  </cacheFields>
  <extLst>
    <ext xmlns:x14="http://schemas.microsoft.com/office/spreadsheetml/2009/9/main" uri="{725AE2AE-9491-48be-B2B4-4EB974FC3084}">
      <x14:pivotCacheDefinition pivotCacheId="1217100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x v="0"/>
    <n v="85"/>
    <n v="78"/>
    <n v="82"/>
    <n v="245"/>
    <n v="81.666666666666671"/>
  </r>
  <r>
    <n v="2"/>
    <x v="1"/>
    <x v="0"/>
    <n v="92"/>
    <n v="88"/>
    <n v="90"/>
    <n v="270"/>
    <n v="90"/>
  </r>
  <r>
    <n v="3"/>
    <x v="2"/>
    <x v="1"/>
    <n v="76"/>
    <n v="72"/>
    <n v="75"/>
    <n v="223"/>
    <n v="74.333333333333329"/>
  </r>
  <r>
    <n v="4"/>
    <x v="3"/>
    <x v="0"/>
    <n v="88"/>
    <n v="91"/>
    <n v="84"/>
    <n v="263"/>
    <n v="87.666666666666671"/>
  </r>
  <r>
    <n v="5"/>
    <x v="4"/>
    <x v="2"/>
    <n v="69"/>
    <n v="74"/>
    <n v="70"/>
    <n v="213"/>
    <n v="71"/>
  </r>
  <r>
    <n v="6"/>
    <x v="5"/>
    <x v="0"/>
    <n v="95"/>
    <n v="89"/>
    <n v="94"/>
    <n v="278"/>
    <n v="92.666666666666671"/>
  </r>
  <r>
    <n v="7"/>
    <x v="6"/>
    <x v="1"/>
    <n v="81"/>
    <n v="77"/>
    <n v="79"/>
    <n v="237"/>
    <n v="79"/>
  </r>
  <r>
    <n v="8"/>
    <x v="7"/>
    <x v="2"/>
    <n v="73"/>
    <n v="80"/>
    <n v="82"/>
    <n v="235"/>
    <n v="78.333333333333329"/>
  </r>
  <r>
    <n v="9"/>
    <x v="8"/>
    <x v="0"/>
    <n v="64"/>
    <n v="68"/>
    <n v="66"/>
    <n v="198"/>
    <n v="66"/>
  </r>
  <r>
    <n v="10"/>
    <x v="9"/>
    <x v="1"/>
    <n v="90"/>
    <n v="86"/>
    <n v="88"/>
    <n v="264"/>
    <n v="88"/>
  </r>
  <r>
    <n v="11"/>
    <x v="10"/>
    <x v="0"/>
    <n v="78"/>
    <n v="83"/>
    <n v="76"/>
    <n v="237"/>
    <n v="79"/>
  </r>
  <r>
    <n v="12"/>
    <x v="11"/>
    <x v="2"/>
    <n v="87"/>
    <n v="79"/>
    <n v="85"/>
    <n v="251"/>
    <n v="83.666666666666671"/>
  </r>
  <r>
    <n v="13"/>
    <x v="12"/>
    <x v="1"/>
    <n v="71"/>
    <n v="65"/>
    <n v="70"/>
    <n v="206"/>
    <n v="68.666666666666671"/>
  </r>
  <r>
    <n v="14"/>
    <x v="13"/>
    <x v="0"/>
    <n v="94"/>
    <n v="92"/>
    <n v="91"/>
    <n v="277"/>
    <n v="92.333333333333329"/>
  </r>
  <r>
    <n v="15"/>
    <x v="14"/>
    <x v="2"/>
    <n v="82"/>
    <n v="75"/>
    <n v="80"/>
    <n v="237"/>
    <n v="79"/>
  </r>
  <r>
    <n v="16"/>
    <x v="15"/>
    <x v="0"/>
    <n v="79"/>
    <n v="84"/>
    <n v="87"/>
    <n v="250"/>
    <n v="83.333333333333329"/>
  </r>
  <r>
    <n v="17"/>
    <x v="16"/>
    <x v="1"/>
    <n v="68"/>
    <n v="71"/>
    <n v="73"/>
    <n v="212"/>
    <n v="70.666666666666671"/>
  </r>
  <r>
    <n v="18"/>
    <x v="17"/>
    <x v="0"/>
    <n v="91"/>
    <n v="85"/>
    <n v="89"/>
    <n v="265"/>
    <n v="88.333333333333329"/>
  </r>
  <r>
    <n v="19"/>
    <x v="18"/>
    <x v="2"/>
    <n v="75"/>
    <n v="78"/>
    <n v="77"/>
    <n v="230"/>
    <n v="76.666666666666671"/>
  </r>
  <r>
    <n v="20"/>
    <x v="19"/>
    <x v="0"/>
    <n v="86"/>
    <n v="90"/>
    <n v="92"/>
    <n v="268"/>
    <n v="89.3333333333333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3AD340-0F07-404D-AD37-54AB16803F5A}" name="PivotTable7" cacheId="8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8">
    <pivotField showAll="0"/>
    <pivotField showAll="0">
      <items count="21">
        <item x="19"/>
        <item x="11"/>
        <item x="0"/>
        <item x="16"/>
        <item x="10"/>
        <item x="3"/>
        <item x="5"/>
        <item x="15"/>
        <item x="4"/>
        <item x="9"/>
        <item x="17"/>
        <item x="7"/>
        <item x="12"/>
        <item x="14"/>
        <item x="1"/>
        <item x="2"/>
        <item x="8"/>
        <item x="18"/>
        <item x="13"/>
        <item x="6"/>
        <item t="default"/>
      </items>
    </pivotField>
    <pivotField axis="axisRow" showAll="0">
      <items count="4">
        <item x="0"/>
        <item h="1" x="1"/>
        <item h="1" x="2"/>
        <item t="default"/>
      </items>
    </pivotField>
    <pivotField dataField="1" showAll="0"/>
    <pivotField showAll="0"/>
    <pivotField showAll="0"/>
    <pivotField showAll="0"/>
    <pivotField showAll="0"/>
  </pivotFields>
  <rowFields count="1">
    <field x="2"/>
  </rowFields>
  <rowItems count="2">
    <i>
      <x/>
    </i>
    <i t="grand">
      <x/>
    </i>
  </rowItems>
  <colItems count="1">
    <i/>
  </colItems>
  <dataFields count="1">
    <dataField name="Sum of Math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402F8D-CE05-4A8A-ACFB-1C2EAD032193}" name="PivotTable5" cacheId="8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2" firstHeaderRow="1" firstDataRow="1" firstDataCol="1"/>
  <pivotFields count="8">
    <pivotField showAll="0"/>
    <pivotField showAll="0">
      <items count="21">
        <item x="19"/>
        <item x="11"/>
        <item x="0"/>
        <item x="16"/>
        <item x="10"/>
        <item x="3"/>
        <item x="5"/>
        <item x="15"/>
        <item x="4"/>
        <item x="9"/>
        <item x="17"/>
        <item x="7"/>
        <item x="12"/>
        <item x="14"/>
        <item x="1"/>
        <item x="2"/>
        <item x="8"/>
        <item x="18"/>
        <item x="13"/>
        <item x="6"/>
        <item t="default"/>
      </items>
    </pivotField>
    <pivotField axis="axisRow" showAll="0">
      <items count="4">
        <item x="0"/>
        <item h="1" x="1"/>
        <item h="1" x="2"/>
        <item t="default"/>
      </items>
    </pivotField>
    <pivotField showAll="0"/>
    <pivotField showAll="0"/>
    <pivotField showAll="0"/>
    <pivotField showAll="0"/>
    <pivotField dataField="1" showAll="0"/>
  </pivotFields>
  <rowFields count="1">
    <field x="2"/>
  </rowFields>
  <rowItems count="2">
    <i>
      <x/>
    </i>
    <i t="grand">
      <x/>
    </i>
  </rowItems>
  <colItems count="1">
    <i/>
  </colItems>
  <dataFields count="1">
    <dataField name="Sum of Averag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BDD136-FD8B-4428-A131-D3E383C820EF}" name="PivotTable4" cacheId="8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3:K5" firstHeaderRow="1" firstDataRow="1" firstDataCol="1"/>
  <pivotFields count="8">
    <pivotField showAll="0"/>
    <pivotField showAll="0">
      <items count="21">
        <item x="19"/>
        <item x="11"/>
        <item x="0"/>
        <item x="16"/>
        <item x="10"/>
        <item x="3"/>
        <item x="5"/>
        <item x="15"/>
        <item x="4"/>
        <item x="9"/>
        <item x="17"/>
        <item x="7"/>
        <item x="12"/>
        <item x="14"/>
        <item x="1"/>
        <item x="2"/>
        <item x="8"/>
        <item x="18"/>
        <item x="13"/>
        <item x="6"/>
        <item t="default"/>
      </items>
    </pivotField>
    <pivotField axis="axisRow" showAll="0">
      <items count="4">
        <item x="0"/>
        <item h="1" x="1"/>
        <item h="1" x="2"/>
        <item t="default"/>
      </items>
    </pivotField>
    <pivotField showAll="0"/>
    <pivotField showAll="0"/>
    <pivotField showAll="0"/>
    <pivotField dataField="1" showAll="0"/>
    <pivotField showAll="0"/>
  </pivotFields>
  <rowFields count="1">
    <field x="2"/>
  </rowFields>
  <rowItems count="2">
    <i>
      <x/>
    </i>
    <i t="grand">
      <x/>
    </i>
  </rowItems>
  <colItems count="1">
    <i/>
  </colItems>
  <dataFields count="1">
    <dataField name="Sum of Total"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0A7713-CCFE-45AE-AE52-7A9CA565A565}" name="PivotTable3" cacheId="8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5" firstHeaderRow="1" firstDataRow="1" firstDataCol="1"/>
  <pivotFields count="8">
    <pivotField showAll="0"/>
    <pivotField showAll="0">
      <items count="21">
        <item x="19"/>
        <item x="11"/>
        <item x="0"/>
        <item x="16"/>
        <item x="10"/>
        <item x="3"/>
        <item x="5"/>
        <item x="15"/>
        <item x="4"/>
        <item x="9"/>
        <item x="17"/>
        <item x="7"/>
        <item x="12"/>
        <item x="14"/>
        <item x="1"/>
        <item x="2"/>
        <item x="8"/>
        <item x="18"/>
        <item x="13"/>
        <item x="6"/>
        <item t="default"/>
      </items>
    </pivotField>
    <pivotField axis="axisRow" showAll="0">
      <items count="4">
        <item x="0"/>
        <item h="1" x="1"/>
        <item h="1" x="2"/>
        <item t="default"/>
      </items>
    </pivotField>
    <pivotField showAll="0"/>
    <pivotField showAll="0"/>
    <pivotField dataField="1" showAll="0"/>
    <pivotField showAll="0"/>
    <pivotField showAll="0"/>
  </pivotFields>
  <rowFields count="1">
    <field x="2"/>
  </rowFields>
  <rowItems count="2">
    <i>
      <x/>
    </i>
    <i t="grand">
      <x/>
    </i>
  </rowItems>
  <colItems count="1">
    <i/>
  </colItems>
  <dataFields count="1">
    <dataField name="Sum of DataScience" fld="5"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 chart="6"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3DF923-6BCF-476E-8F75-3EA8379B440A}" name="PivotTable2" cacheId="8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5" firstHeaderRow="1" firstDataRow="1" firstDataCol="1"/>
  <pivotFields count="8">
    <pivotField showAll="0"/>
    <pivotField showAll="0">
      <items count="21">
        <item x="19"/>
        <item x="11"/>
        <item x="0"/>
        <item x="16"/>
        <item x="10"/>
        <item x="3"/>
        <item x="5"/>
        <item x="15"/>
        <item x="4"/>
        <item x="9"/>
        <item x="17"/>
        <item x="7"/>
        <item x="12"/>
        <item x="14"/>
        <item x="1"/>
        <item x="2"/>
        <item x="8"/>
        <item x="18"/>
        <item x="13"/>
        <item x="6"/>
        <item t="default"/>
      </items>
    </pivotField>
    <pivotField axis="axisRow" showAll="0">
      <items count="4">
        <item x="0"/>
        <item h="1" x="1"/>
        <item h="1" x="2"/>
        <item t="default"/>
      </items>
    </pivotField>
    <pivotField showAll="0"/>
    <pivotField dataField="1" showAll="0"/>
    <pivotField showAll="0"/>
    <pivotField showAll="0"/>
    <pivotField showAll="0"/>
  </pivotFields>
  <rowFields count="1">
    <field x="2"/>
  </rowFields>
  <rowItems count="2">
    <i>
      <x/>
    </i>
    <i t="grand">
      <x/>
    </i>
  </rowItems>
  <colItems count="1">
    <i/>
  </colItems>
  <dataFields count="1">
    <dataField name="Sum of CP"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E09F70-2AAF-4054-87AE-0B01E155CB46}" name="PivotTable9" cacheId="8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7" firstHeaderRow="1" firstDataRow="1" firstDataCol="1"/>
  <pivotFields count="8">
    <pivotField showAll="0"/>
    <pivotField showAll="0"/>
    <pivotField axis="axisRow" showAll="0">
      <items count="4">
        <item x="0"/>
        <item x="1"/>
        <item x="2"/>
        <item t="default"/>
      </items>
    </pivotField>
    <pivotField showAll="0"/>
    <pivotField showAll="0"/>
    <pivotField dataField="1" showAll="0"/>
    <pivotField showAll="0"/>
    <pivotField showAll="0"/>
  </pivotFields>
  <rowFields count="1">
    <field x="2"/>
  </rowFields>
  <rowItems count="4">
    <i>
      <x/>
    </i>
    <i>
      <x v="1"/>
    </i>
    <i>
      <x v="2"/>
    </i>
    <i t="grand">
      <x/>
    </i>
  </rowItems>
  <colItems count="1">
    <i/>
  </colItems>
  <dataFields count="1">
    <dataField name="Sum of DataScienc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9770CD-5069-424D-91D4-10A3986DDAE3}" name="PivotTable8" cacheId="8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8">
    <pivotField showAll="0"/>
    <pivotField showAll="0"/>
    <pivotField axis="axisRow" showAll="0">
      <items count="4">
        <item x="0"/>
        <item x="1"/>
        <item x="2"/>
        <item t="default"/>
      </items>
    </pivotField>
    <pivotField dataField="1" showAll="0"/>
    <pivotField showAll="0"/>
    <pivotField showAll="0"/>
    <pivotField showAll="0"/>
    <pivotField showAll="0"/>
  </pivotFields>
  <rowFields count="1">
    <field x="2"/>
  </rowFields>
  <rowItems count="4">
    <i>
      <x/>
    </i>
    <i>
      <x v="1"/>
    </i>
    <i>
      <x v="2"/>
    </i>
    <i t="grand">
      <x/>
    </i>
  </rowItems>
  <colItems count="1">
    <i/>
  </colItems>
  <dataFields count="1">
    <dataField name="Sum of Math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4E7F8A-E14D-47B1-940C-BAFCAAA73A11}" name="PivotTable11" cacheId="8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A10:B14" firstHeaderRow="1" firstDataRow="1" firstDataCol="1"/>
  <pivotFields count="8">
    <pivotField showAll="0"/>
    <pivotField showAll="0"/>
    <pivotField axis="axisRow" showAll="0">
      <items count="4">
        <item x="0"/>
        <item x="1"/>
        <item x="2"/>
        <item t="default"/>
      </items>
    </pivotField>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Total" fld="6" baseField="0" baseItem="0"/>
  </dataFields>
  <chartFormats count="10">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2" count="1" selected="0">
            <x v="0"/>
          </reference>
        </references>
      </pivotArea>
    </chartFormat>
    <chartFormat chart="31" format="7">
      <pivotArea type="data" outline="0" fieldPosition="0">
        <references count="2">
          <reference field="4294967294" count="1" selected="0">
            <x v="0"/>
          </reference>
          <reference field="2" count="1" selected="0">
            <x v="1"/>
          </reference>
        </references>
      </pivotArea>
    </chartFormat>
    <chartFormat chart="31"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371199-C942-4F51-9222-DC6A99F0853F}" name="PivotTable10" cacheId="8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7" firstHeaderRow="1" firstDataRow="1" firstDataCol="1"/>
  <pivotFields count="8">
    <pivotField showAll="0"/>
    <pivotField showAll="0"/>
    <pivotField axis="axisRow" showAll="0">
      <items count="4">
        <item x="0"/>
        <item x="1"/>
        <item x="2"/>
        <item t="default"/>
      </items>
    </pivotField>
    <pivotField showAll="0"/>
    <pivotField dataField="1" showAll="0"/>
    <pivotField showAll="0"/>
    <pivotField showAll="0"/>
    <pivotField showAll="0"/>
  </pivotFields>
  <rowFields count="1">
    <field x="2"/>
  </rowFields>
  <rowItems count="4">
    <i>
      <x/>
    </i>
    <i>
      <x v="1"/>
    </i>
    <i>
      <x v="2"/>
    </i>
    <i t="grand">
      <x/>
    </i>
  </rowItems>
  <colItems count="1">
    <i/>
  </colItems>
  <dataFields count="1">
    <dataField name="Sum of CP"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DFBC614-502D-412A-A9A7-3DC8CFAEC616}" sourceName="Department">
  <pivotTables>
    <pivotTable tabId="2" name="PivotTable2"/>
    <pivotTable tabId="2" name="PivotTable3"/>
    <pivotTable tabId="2" name="PivotTable4"/>
    <pivotTable tabId="2" name="PivotTable5"/>
    <pivotTable tabId="2" name="PivotTable7"/>
  </pivotTables>
  <data>
    <tabular pivotCacheId="1217100720">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8E85116-3078-47C3-ABD6-8BB506AFC9C0}" cache="Slicer_Department" caption="Departmen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rinterSettings" Target="../printerSettings/printerSettings3.bin"/><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AE25A-EB23-4BF3-AD99-0E20D295DAA3}">
  <dimension ref="A3:K12"/>
  <sheetViews>
    <sheetView zoomScale="84" workbookViewId="0">
      <selection activeCell="A4" sqref="A4"/>
    </sheetView>
  </sheetViews>
  <sheetFormatPr defaultRowHeight="14.45"/>
  <cols>
    <col min="1" max="1" width="12.85546875" bestFit="1" customWidth="1"/>
    <col min="2" max="2" width="12.28515625" bestFit="1" customWidth="1"/>
    <col min="3" max="3" width="12" bestFit="1" customWidth="1"/>
    <col min="4" max="4" width="12.85546875" bestFit="1" customWidth="1"/>
    <col min="5" max="5" width="9.5703125" bestFit="1" customWidth="1"/>
    <col min="6" max="6" width="9.28515625" bestFit="1" customWidth="1"/>
    <col min="7" max="7" width="12.85546875" bestFit="1" customWidth="1"/>
    <col min="8" max="8" width="17.85546875" bestFit="1" customWidth="1"/>
    <col min="9" max="9" width="9.7109375" customWidth="1"/>
    <col min="10" max="10" width="12.85546875" bestFit="1" customWidth="1"/>
    <col min="11" max="11" width="11.28515625" bestFit="1" customWidth="1"/>
  </cols>
  <sheetData>
    <row r="3" spans="1:11">
      <c r="A3" s="1" t="s">
        <v>0</v>
      </c>
      <c r="B3" t="s">
        <v>1</v>
      </c>
      <c r="D3" s="1" t="s">
        <v>0</v>
      </c>
      <c r="E3" t="s">
        <v>2</v>
      </c>
      <c r="G3" s="1" t="s">
        <v>0</v>
      </c>
      <c r="H3" t="s">
        <v>3</v>
      </c>
      <c r="J3" s="1" t="s">
        <v>0</v>
      </c>
      <c r="K3" t="s">
        <v>4</v>
      </c>
    </row>
    <row r="4" spans="1:11">
      <c r="A4" s="2" t="s">
        <v>5</v>
      </c>
      <c r="B4">
        <v>852</v>
      </c>
      <c r="D4" s="2" t="s">
        <v>5</v>
      </c>
      <c r="E4">
        <v>848</v>
      </c>
      <c r="G4" s="2" t="s">
        <v>5</v>
      </c>
      <c r="H4">
        <v>851</v>
      </c>
      <c r="J4" s="2" t="s">
        <v>5</v>
      </c>
      <c r="K4">
        <v>2551</v>
      </c>
    </row>
    <row r="5" spans="1:11">
      <c r="A5" s="2" t="s">
        <v>6</v>
      </c>
      <c r="B5">
        <v>852</v>
      </c>
      <c r="D5" s="2" t="s">
        <v>6</v>
      </c>
      <c r="E5">
        <v>848</v>
      </c>
      <c r="G5" s="2" t="s">
        <v>6</v>
      </c>
      <c r="H5">
        <v>851</v>
      </c>
      <c r="J5" s="2" t="s">
        <v>6</v>
      </c>
      <c r="K5">
        <v>2551</v>
      </c>
    </row>
    <row r="10" spans="1:11">
      <c r="A10" s="1" t="s">
        <v>0</v>
      </c>
      <c r="B10" t="s">
        <v>7</v>
      </c>
    </row>
    <row r="11" spans="1:11">
      <c r="A11" s="2" t="s">
        <v>5</v>
      </c>
      <c r="B11">
        <v>850.33333333333337</v>
      </c>
    </row>
    <row r="12" spans="1:11">
      <c r="A12" s="2" t="s">
        <v>6</v>
      </c>
      <c r="B12">
        <v>850.33333333333337</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D9B4-CF18-4C9B-853E-233844CE24A8}">
  <dimension ref="A1"/>
  <sheetViews>
    <sheetView tabSelected="1" workbookViewId="0">
      <selection activeCell="C23" sqref="C23"/>
    </sheetView>
  </sheetViews>
  <sheetFormatPr defaultRowHeight="14.4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1DD6D-A622-4694-B7F5-5947851B9EB7}">
  <dimension ref="A3:H14"/>
  <sheetViews>
    <sheetView workbookViewId="0">
      <selection activeCell="A10" sqref="A10:B14"/>
    </sheetView>
  </sheetViews>
  <sheetFormatPr defaultRowHeight="14.45"/>
  <cols>
    <col min="1" max="1" width="12.42578125" bestFit="1" customWidth="1"/>
    <col min="2" max="2" width="11.140625" bestFit="1" customWidth="1"/>
    <col min="4" max="4" width="12.42578125" bestFit="1" customWidth="1"/>
    <col min="5" max="5" width="17.7109375" bestFit="1" customWidth="1"/>
    <col min="7" max="7" width="12.42578125" bestFit="1" customWidth="1"/>
    <col min="8" max="9" width="9.28515625" bestFit="1" customWidth="1"/>
  </cols>
  <sheetData>
    <row r="3" spans="1:8">
      <c r="A3" s="1" t="s">
        <v>0</v>
      </c>
      <c r="B3" t="s">
        <v>1</v>
      </c>
      <c r="D3" s="1" t="s">
        <v>0</v>
      </c>
      <c r="E3" t="s">
        <v>3</v>
      </c>
      <c r="G3" s="1" t="s">
        <v>0</v>
      </c>
      <c r="H3" t="s">
        <v>2</v>
      </c>
    </row>
    <row r="4" spans="1:8">
      <c r="A4" s="2" t="s">
        <v>5</v>
      </c>
      <c r="B4">
        <v>852</v>
      </c>
      <c r="D4" s="2" t="s">
        <v>5</v>
      </c>
      <c r="E4">
        <v>851</v>
      </c>
      <c r="G4" s="2" t="s">
        <v>5</v>
      </c>
      <c r="H4">
        <v>848</v>
      </c>
    </row>
    <row r="5" spans="1:8">
      <c r="A5" s="2" t="s">
        <v>8</v>
      </c>
      <c r="B5">
        <v>386</v>
      </c>
      <c r="D5" s="2" t="s">
        <v>8</v>
      </c>
      <c r="E5">
        <v>385</v>
      </c>
      <c r="G5" s="2" t="s">
        <v>8</v>
      </c>
      <c r="H5">
        <v>371</v>
      </c>
    </row>
    <row r="6" spans="1:8">
      <c r="A6" s="2" t="s">
        <v>9</v>
      </c>
      <c r="B6">
        <v>386</v>
      </c>
      <c r="D6" s="2" t="s">
        <v>9</v>
      </c>
      <c r="E6">
        <v>394</v>
      </c>
      <c r="G6" s="2" t="s">
        <v>9</v>
      </c>
      <c r="H6">
        <v>386</v>
      </c>
    </row>
    <row r="7" spans="1:8">
      <c r="A7" s="2" t="s">
        <v>6</v>
      </c>
      <c r="B7">
        <v>1624</v>
      </c>
      <c r="D7" s="2" t="s">
        <v>6</v>
      </c>
      <c r="E7">
        <v>1630</v>
      </c>
      <c r="G7" s="2" t="s">
        <v>6</v>
      </c>
      <c r="H7">
        <v>1605</v>
      </c>
    </row>
    <row r="10" spans="1:8">
      <c r="A10" s="1" t="s">
        <v>0</v>
      </c>
      <c r="B10" t="s">
        <v>4</v>
      </c>
    </row>
    <row r="11" spans="1:8">
      <c r="A11" s="2" t="s">
        <v>5</v>
      </c>
      <c r="B11">
        <v>2551</v>
      </c>
    </row>
    <row r="12" spans="1:8">
      <c r="A12" s="2" t="s">
        <v>8</v>
      </c>
      <c r="B12">
        <v>1142</v>
      </c>
    </row>
    <row r="13" spans="1:8">
      <c r="A13" s="2" t="s">
        <v>9</v>
      </c>
      <c r="B13">
        <v>1166</v>
      </c>
    </row>
    <row r="14" spans="1:8">
      <c r="A14" s="2" t="s">
        <v>6</v>
      </c>
      <c r="B14">
        <v>4859</v>
      </c>
    </row>
  </sheetData>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E7EBD-0145-4CAA-B405-CFF974D9FBEC}">
  <dimension ref="A1:H21"/>
  <sheetViews>
    <sheetView workbookViewId="0">
      <selection sqref="A1:H21"/>
    </sheetView>
  </sheetViews>
  <sheetFormatPr defaultRowHeight="14.45"/>
  <cols>
    <col min="1" max="1" width="6.42578125" customWidth="1"/>
    <col min="2" max="2" width="16.85546875" customWidth="1"/>
    <col min="3" max="3" width="13.28515625" customWidth="1"/>
    <col min="4" max="5" width="8.85546875" customWidth="1"/>
    <col min="6" max="6" width="12.5703125" customWidth="1"/>
    <col min="7" max="7" width="15.5703125" customWidth="1"/>
    <col min="8" max="8" width="7.28515625" customWidth="1"/>
  </cols>
  <sheetData>
    <row r="1" spans="1:8">
      <c r="A1" t="s">
        <v>10</v>
      </c>
      <c r="B1" t="s">
        <v>11</v>
      </c>
      <c r="C1" t="s">
        <v>12</v>
      </c>
      <c r="D1" t="s">
        <v>13</v>
      </c>
      <c r="E1" t="s">
        <v>14</v>
      </c>
      <c r="F1" t="s">
        <v>15</v>
      </c>
      <c r="G1" t="s">
        <v>16</v>
      </c>
      <c r="H1" t="s">
        <v>17</v>
      </c>
    </row>
    <row r="2" spans="1:8">
      <c r="A2">
        <v>1</v>
      </c>
      <c r="B2" t="s">
        <v>18</v>
      </c>
      <c r="C2" t="s">
        <v>5</v>
      </c>
      <c r="D2">
        <v>85</v>
      </c>
      <c r="E2">
        <v>78</v>
      </c>
      <c r="F2">
        <v>82</v>
      </c>
      <c r="G2">
        <f>SUM(D2:F2)</f>
        <v>245</v>
      </c>
      <c r="H2">
        <f>AVERAGE(D2:F2)</f>
        <v>81.666666666666671</v>
      </c>
    </row>
    <row r="3" spans="1:8">
      <c r="A3">
        <v>2</v>
      </c>
      <c r="B3" t="s">
        <v>19</v>
      </c>
      <c r="C3" t="s">
        <v>5</v>
      </c>
      <c r="D3">
        <v>92</v>
      </c>
      <c r="E3">
        <v>88</v>
      </c>
      <c r="F3">
        <v>90</v>
      </c>
      <c r="G3">
        <f>SUM(D3:F3)</f>
        <v>270</v>
      </c>
      <c r="H3">
        <f t="shared" ref="H3:H21" si="0">AVERAGE(D3:F3)</f>
        <v>90</v>
      </c>
    </row>
    <row r="4" spans="1:8">
      <c r="A4">
        <v>3</v>
      </c>
      <c r="B4" t="s">
        <v>20</v>
      </c>
      <c r="C4" t="s">
        <v>8</v>
      </c>
      <c r="D4">
        <v>76</v>
      </c>
      <c r="E4">
        <v>72</v>
      </c>
      <c r="F4">
        <v>75</v>
      </c>
      <c r="G4">
        <f>SUM(D4:F4)</f>
        <v>223</v>
      </c>
      <c r="H4">
        <f t="shared" si="0"/>
        <v>74.333333333333329</v>
      </c>
    </row>
    <row r="5" spans="1:8">
      <c r="A5">
        <v>4</v>
      </c>
      <c r="B5" t="s">
        <v>21</v>
      </c>
      <c r="C5" t="s">
        <v>5</v>
      </c>
      <c r="D5">
        <v>88</v>
      </c>
      <c r="E5">
        <v>91</v>
      </c>
      <c r="F5">
        <v>84</v>
      </c>
      <c r="G5">
        <f>SUM(D5:F5)</f>
        <v>263</v>
      </c>
      <c r="H5">
        <f t="shared" si="0"/>
        <v>87.666666666666671</v>
      </c>
    </row>
    <row r="6" spans="1:8">
      <c r="A6">
        <v>5</v>
      </c>
      <c r="B6" t="s">
        <v>22</v>
      </c>
      <c r="C6" t="s">
        <v>9</v>
      </c>
      <c r="D6">
        <v>69</v>
      </c>
      <c r="E6">
        <v>74</v>
      </c>
      <c r="F6">
        <v>70</v>
      </c>
      <c r="G6">
        <f>SUM(D6:F6)</f>
        <v>213</v>
      </c>
      <c r="H6">
        <f t="shared" si="0"/>
        <v>71</v>
      </c>
    </row>
    <row r="7" spans="1:8">
      <c r="A7">
        <v>6</v>
      </c>
      <c r="B7" t="s">
        <v>23</v>
      </c>
      <c r="C7" t="s">
        <v>5</v>
      </c>
      <c r="D7">
        <v>95</v>
      </c>
      <c r="E7">
        <v>89</v>
      </c>
      <c r="F7">
        <v>94</v>
      </c>
      <c r="G7">
        <f t="shared" ref="G7:G21" si="1">SUM(D7:F7)</f>
        <v>278</v>
      </c>
      <c r="H7">
        <f t="shared" si="0"/>
        <v>92.666666666666671</v>
      </c>
    </row>
    <row r="8" spans="1:8">
      <c r="A8">
        <v>7</v>
      </c>
      <c r="B8" t="s">
        <v>24</v>
      </c>
      <c r="C8" t="s">
        <v>8</v>
      </c>
      <c r="D8">
        <v>81</v>
      </c>
      <c r="E8">
        <v>77</v>
      </c>
      <c r="F8">
        <v>79</v>
      </c>
      <c r="G8">
        <f t="shared" si="1"/>
        <v>237</v>
      </c>
      <c r="H8">
        <f t="shared" si="0"/>
        <v>79</v>
      </c>
    </row>
    <row r="9" spans="1:8">
      <c r="A9">
        <v>8</v>
      </c>
      <c r="B9" t="s">
        <v>25</v>
      </c>
      <c r="C9" t="s">
        <v>9</v>
      </c>
      <c r="D9">
        <v>73</v>
      </c>
      <c r="E9">
        <v>80</v>
      </c>
      <c r="F9">
        <v>82</v>
      </c>
      <c r="G9">
        <f t="shared" si="1"/>
        <v>235</v>
      </c>
      <c r="H9">
        <f t="shared" si="0"/>
        <v>78.333333333333329</v>
      </c>
    </row>
    <row r="10" spans="1:8">
      <c r="A10">
        <v>9</v>
      </c>
      <c r="B10" t="s">
        <v>26</v>
      </c>
      <c r="C10" t="s">
        <v>5</v>
      </c>
      <c r="D10">
        <v>64</v>
      </c>
      <c r="E10">
        <v>68</v>
      </c>
      <c r="F10">
        <v>66</v>
      </c>
      <c r="G10">
        <f t="shared" si="1"/>
        <v>198</v>
      </c>
      <c r="H10">
        <f t="shared" si="0"/>
        <v>66</v>
      </c>
    </row>
    <row r="11" spans="1:8">
      <c r="A11">
        <v>10</v>
      </c>
      <c r="B11" t="s">
        <v>27</v>
      </c>
      <c r="C11" t="s">
        <v>8</v>
      </c>
      <c r="D11">
        <v>90</v>
      </c>
      <c r="E11">
        <v>86</v>
      </c>
      <c r="F11">
        <v>88</v>
      </c>
      <c r="G11">
        <f t="shared" si="1"/>
        <v>264</v>
      </c>
      <c r="H11">
        <f t="shared" si="0"/>
        <v>88</v>
      </c>
    </row>
    <row r="12" spans="1:8">
      <c r="A12">
        <v>11</v>
      </c>
      <c r="B12" t="s">
        <v>28</v>
      </c>
      <c r="C12" t="s">
        <v>5</v>
      </c>
      <c r="D12">
        <v>78</v>
      </c>
      <c r="E12">
        <v>83</v>
      </c>
      <c r="F12">
        <v>76</v>
      </c>
      <c r="G12">
        <f t="shared" si="1"/>
        <v>237</v>
      </c>
      <c r="H12">
        <f t="shared" si="0"/>
        <v>79</v>
      </c>
    </row>
    <row r="13" spans="1:8">
      <c r="A13">
        <v>12</v>
      </c>
      <c r="B13" t="s">
        <v>29</v>
      </c>
      <c r="C13" t="s">
        <v>9</v>
      </c>
      <c r="D13">
        <v>87</v>
      </c>
      <c r="E13">
        <v>79</v>
      </c>
      <c r="F13">
        <v>85</v>
      </c>
      <c r="G13">
        <f t="shared" si="1"/>
        <v>251</v>
      </c>
      <c r="H13">
        <f t="shared" si="0"/>
        <v>83.666666666666671</v>
      </c>
    </row>
    <row r="14" spans="1:8">
      <c r="A14">
        <v>13</v>
      </c>
      <c r="B14" t="s">
        <v>30</v>
      </c>
      <c r="C14" t="s">
        <v>8</v>
      </c>
      <c r="D14">
        <v>71</v>
      </c>
      <c r="E14">
        <v>65</v>
      </c>
      <c r="F14">
        <v>70</v>
      </c>
      <c r="G14">
        <f t="shared" si="1"/>
        <v>206</v>
      </c>
      <c r="H14">
        <f t="shared" si="0"/>
        <v>68.666666666666671</v>
      </c>
    </row>
    <row r="15" spans="1:8">
      <c r="A15">
        <v>14</v>
      </c>
      <c r="B15" t="s">
        <v>31</v>
      </c>
      <c r="C15" t="s">
        <v>5</v>
      </c>
      <c r="D15">
        <v>94</v>
      </c>
      <c r="E15">
        <v>92</v>
      </c>
      <c r="F15">
        <v>91</v>
      </c>
      <c r="G15">
        <f>SUM(D15:F15)</f>
        <v>277</v>
      </c>
      <c r="H15">
        <f t="shared" si="0"/>
        <v>92.333333333333329</v>
      </c>
    </row>
    <row r="16" spans="1:8">
      <c r="A16">
        <v>15</v>
      </c>
      <c r="B16" t="s">
        <v>32</v>
      </c>
      <c r="C16" t="s">
        <v>9</v>
      </c>
      <c r="D16">
        <v>82</v>
      </c>
      <c r="E16">
        <v>75</v>
      </c>
      <c r="F16">
        <v>80</v>
      </c>
      <c r="G16">
        <f t="shared" si="1"/>
        <v>237</v>
      </c>
      <c r="H16">
        <f t="shared" si="0"/>
        <v>79</v>
      </c>
    </row>
    <row r="17" spans="1:8">
      <c r="A17">
        <v>16</v>
      </c>
      <c r="B17" t="s">
        <v>33</v>
      </c>
      <c r="C17" t="s">
        <v>5</v>
      </c>
      <c r="D17">
        <v>79</v>
      </c>
      <c r="E17">
        <v>84</v>
      </c>
      <c r="F17">
        <v>87</v>
      </c>
      <c r="G17">
        <f t="shared" si="1"/>
        <v>250</v>
      </c>
      <c r="H17">
        <f t="shared" si="0"/>
        <v>83.333333333333329</v>
      </c>
    </row>
    <row r="18" spans="1:8">
      <c r="A18">
        <v>17</v>
      </c>
      <c r="B18" t="s">
        <v>34</v>
      </c>
      <c r="C18" t="s">
        <v>8</v>
      </c>
      <c r="D18">
        <v>68</v>
      </c>
      <c r="E18">
        <v>71</v>
      </c>
      <c r="F18">
        <v>73</v>
      </c>
      <c r="G18">
        <f t="shared" si="1"/>
        <v>212</v>
      </c>
      <c r="H18">
        <f t="shared" si="0"/>
        <v>70.666666666666671</v>
      </c>
    </row>
    <row r="19" spans="1:8">
      <c r="A19">
        <v>18</v>
      </c>
      <c r="B19" t="s">
        <v>35</v>
      </c>
      <c r="C19" t="s">
        <v>5</v>
      </c>
      <c r="D19">
        <v>91</v>
      </c>
      <c r="E19">
        <v>85</v>
      </c>
      <c r="F19">
        <v>89</v>
      </c>
      <c r="G19">
        <f t="shared" si="1"/>
        <v>265</v>
      </c>
      <c r="H19">
        <f t="shared" si="0"/>
        <v>88.333333333333329</v>
      </c>
    </row>
    <row r="20" spans="1:8">
      <c r="A20">
        <v>19</v>
      </c>
      <c r="B20" t="s">
        <v>36</v>
      </c>
      <c r="C20" t="s">
        <v>9</v>
      </c>
      <c r="D20">
        <v>75</v>
      </c>
      <c r="E20">
        <v>78</v>
      </c>
      <c r="F20">
        <v>77</v>
      </c>
      <c r="G20">
        <f t="shared" si="1"/>
        <v>230</v>
      </c>
      <c r="H20">
        <f t="shared" si="0"/>
        <v>76.666666666666671</v>
      </c>
    </row>
    <row r="21" spans="1:8">
      <c r="A21">
        <v>20</v>
      </c>
      <c r="B21" t="s">
        <v>37</v>
      </c>
      <c r="C21" t="s">
        <v>5</v>
      </c>
      <c r="D21">
        <v>86</v>
      </c>
      <c r="E21">
        <v>90</v>
      </c>
      <c r="F21">
        <v>92</v>
      </c>
      <c r="G21">
        <f t="shared" si="1"/>
        <v>268</v>
      </c>
      <c r="H21">
        <f t="shared" si="0"/>
        <v>89.333333333333329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CHIRANJEEV SENTHIL</dc:creator>
  <cp:keywords/>
  <dc:description/>
  <cp:lastModifiedBy>Guest User</cp:lastModifiedBy>
  <cp:revision/>
  <dcterms:created xsi:type="dcterms:W3CDTF">2026-09-11T04:30:03Z</dcterms:created>
  <dcterms:modified xsi:type="dcterms:W3CDTF">2026-09-11T14:01:32Z</dcterms:modified>
  <cp:category/>
  <cp:contentStatus/>
</cp:coreProperties>
</file>